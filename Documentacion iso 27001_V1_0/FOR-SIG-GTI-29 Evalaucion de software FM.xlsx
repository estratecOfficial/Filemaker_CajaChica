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igue"/>
  <workbookPr/>
  <bookViews>
    <workbookView activeTab="0" xWindow="240" yWindow="60" windowWidth="16380" windowHeight="8190" tabRatio="500"/>
  </bookViews>
  <sheets>
    <sheet name="Hoja1" sheetId="1" r:id="rId4"/>
  </sheets>
  <definedNames>
    <definedName name="_xlnm.Print_Area" localSheetId="0">Hoja1!$B$1:$I$71</definedName>
    <definedName name="_xlnm.Print_Titles" localSheetId="0">Hoja1!$1:$2</definedName>
    <definedName name="Print_Area_0" localSheetId="0">Hoja1!$B$1:$I$55</definedName>
    <definedName name="_Hlk506370062" localSheetId="0">Hoja1!$B$1</definedName>
  </definedNames>
  <calcPr iterateDelta="0.0001"/>
  <extLst>
    <ext uri="smNativeData">
      <pm:revision xmlns:pm="smNativeData" day="1597010558" val="976" rev="124" revOS="4" revMin="124" revMax="0"/>
      <pm:docPrefs xmlns:pm="smNativeData" id="1597010558" fixedDigits="0" showNotice="1" showFrameBounds="1" autoChart="1" recalcOnPrint="1" recalcOnCopy="1" finalRounding="1" compatTextArt="1" tab="567" useDefinedPrintRange="1" printArea="currentSheet"/>
      <pm:compatibility xmlns:pm="smNativeData" id="1597010558" overlapCells="1"/>
      <pm:defCurrency xmlns:pm="smNativeData" id="1597010558"/>
    </ext>
  </extLst>
</workbook>
</file>

<file path=xl/sharedStrings.xml><?xml version="1.0" encoding="utf-8"?>
<sst xmlns="http://schemas.openxmlformats.org/spreadsheetml/2006/main" count="83" uniqueCount="54">
  <si>
    <t>EVALUACIÓN DE SOFTWARE</t>
  </si>
  <si>
    <t>Código: FOR-SIG-GTI-29</t>
  </si>
  <si>
    <t>Ver.:01</t>
  </si>
  <si>
    <t>Fecha de implementación:08-Oct-18</t>
  </si>
  <si>
    <t>Vigencia: Diciembre 2022</t>
  </si>
  <si>
    <t>Solicitud No.</t>
  </si>
  <si>
    <t>No. De evaluación</t>
  </si>
  <si>
    <t>Software</t>
  </si>
  <si>
    <t>Caja Chica (FileMaker)</t>
  </si>
  <si>
    <t>Tipo</t>
  </si>
  <si>
    <t>Aplicación Desktop</t>
  </si>
  <si>
    <t>Versión</t>
  </si>
  <si>
    <t>Desarrollador</t>
  </si>
  <si>
    <t>Miguel Arcángel Mex Martínez</t>
  </si>
  <si>
    <t>Departamento</t>
  </si>
  <si>
    <t>Sistemas</t>
  </si>
  <si>
    <t>Responsable del testing</t>
  </si>
  <si>
    <t>Tami Ohara</t>
  </si>
  <si>
    <t>Dirección</t>
  </si>
  <si>
    <t>Supervisor de desarrollo</t>
  </si>
  <si>
    <t>Abel Uriel Martínez Vallejo</t>
  </si>
  <si>
    <t>Fecha</t>
  </si>
  <si>
    <t>Requerimiento Funcionales</t>
  </si>
  <si>
    <t>C</t>
  </si>
  <si>
    <t>NC</t>
  </si>
  <si>
    <t>CP</t>
  </si>
  <si>
    <t>Observaciones</t>
  </si>
  <si>
    <t>Tablas de arqueo con campos[Fecha de Registro, Empleado,Importe,Factura,Concepto,Departamento,Folio,Estado,Empresa ,Nota]</t>
  </si>
  <si>
    <t>Sección de inicio con calendario (con mes y año actual) con selección manual de Mes y año, Mostrando al inicio mes y año actual</t>
  </si>
  <si>
    <t>Sistema de Filtrado para los registros (Conceptos, Departamentos, Empleado,Empresa y/o Estado del Registro)</t>
  </si>
  <si>
    <t>Sistema de Rango de Fecha de los Registros  [Semanal, Mensual  y/o Determinado por  el usuario]</t>
  </si>
  <si>
    <t>Sistema para exportación de los registros en un rango de tiempo determinado en Formato XLSX</t>
  </si>
  <si>
    <t>Sistema para la Impresión en cierto formato de los registros en un rango de tiempo determinado</t>
  </si>
  <si>
    <t>Sección Para revisar y cambiar el estado de los registros “Pendientes” a “Pagados”</t>
  </si>
  <si>
    <t>Sección para Revisar el crédito activo de los empleados y cambiar sus estados, Cambio de Fecha , Empresa y Notas</t>
  </si>
  <si>
    <t>Subtotal de reactivos</t>
  </si>
  <si>
    <t>Total de Reactivos</t>
  </si>
  <si>
    <t>Requerimiento de seguridad</t>
  </si>
  <si>
    <t>Usuario y contraseña para el acceso a los usuarios en la aplicación</t>
  </si>
  <si>
    <t>Privilegios diferentes para cada usuario en función de sus  funciones</t>
  </si>
  <si>
    <t>Historial de las operaciones  en ciertas presentaciones.</t>
  </si>
  <si>
    <t>Cumplimiento</t>
  </si>
  <si>
    <t>Nivel de cumplimiento</t>
  </si>
  <si>
    <t>Aprobado Si [ X  ]  No [   ]  por:</t>
  </si>
  <si>
    <t>No.</t>
  </si>
  <si>
    <t>Nombre</t>
  </si>
  <si>
    <t>Firma</t>
  </si>
  <si>
    <t>Fecha:</t>
  </si>
  <si>
    <t>Jefe directo de usuario</t>
  </si>
  <si>
    <t>(24/01/2020)</t>
  </si>
  <si>
    <t>Usuario</t>
  </si>
  <si>
    <t>Supervisor de Desarrollo</t>
  </si>
  <si>
    <t>Programador</t>
  </si>
  <si>
    <t>Al firmar este documento, declaro que la fase de beta de la aplicación ha concluido satisfactoriamente por tal motivo dictamino la liberación a producción de la aplicación, en caso de no estar de acuerdo no firmar este documento.</t>
  </si>
</sst>
</file>

<file path=xl/styles.xml><?xml version="1.0" encoding="utf-8"?>
<styleSheet xmlns="http://schemas.openxmlformats.org/spreadsheetml/2006/main">
  <numFmts count="16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#,##0.0"/>
    <numFmt numFmtId="165" formatCode="DD/MM/YY"/>
    <numFmt numFmtId="10" formatCode="0.00%"/>
    <numFmt numFmtId="166" formatCode="_-_$* #,##0.00_-;\-_$* #,##0.00_-;_-_$* &quot;-&quot;??_-;_-@_-"/>
    <numFmt numFmtId="167" formatCode="_-_$* #,##0_-;\-_$* #,##0_-;_-_$* &quot;-&quot;_-;_-@_-"/>
    <numFmt numFmtId="168" formatCode="_-&quot;$&quot;* #,##0.00_-;\-&quot;$&quot;* #,##0.00_-;_-&quot;$&quot;* &quot;-&quot;??_-;_-@_-"/>
    <numFmt numFmtId="169" formatCode="_-&quot;$&quot;* #,##0_-;\-&quot;$&quot;* #,##0_-;_-&quot;$&quot;* &quot;-&quot;_-;_-@_-"/>
    <numFmt numFmtId="9" formatCode="0%"/>
  </numFmts>
  <fonts count="9">
    <font>
      <name val="Calibri"/>
      <family val="2"/>
      <color rgb="FF000000"/>
      <sz val="11"/>
      <extLst>
        <ext uri="smNativeData">
          <pm:charSpec xmlns:pm="smNativeData" id="159701055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01055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FFFFFF"/>
      <sz val="12"/>
      <extLst>
        <ext uri="smNativeData">
          <pm:charSpec xmlns:pm="smNativeData" id="1597010558" fgClr="FFFFFF" ulstyle="none" kern="1">
            <pm:latin face="Arial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597010558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Arial"/>
      <family val="2"/>
      <b/>
      <color rgb="FFFFFFFF"/>
      <sz val="11"/>
      <extLst>
        <ext uri="smNativeData">
          <pm:charSpec xmlns:pm="smNativeData" id="1597010558" fgClr="FFFFFF" ulstyle="none" kern="1">
            <pm:latin face="Arial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Arial"/>
      <family val="2"/>
      <i/>
      <color rgb="FF000000"/>
      <sz val="11"/>
      <extLst>
        <ext uri="smNativeData">
          <pm:charSpec xmlns:pm="smNativeData" id="1597010558" ulstyle="none" kern="1">
            <pm:latin face="Arial" sz="220" lang="default" i="1"/>
            <pm:cs face="Times New Roman" sz="220" lang="default" i="1"/>
            <pm:ea face="SimSun" sz="220" lang="default" i="1"/>
          </pm:charSpec>
        </ext>
      </extLst>
    </font>
    <font>
      <name val="Arial"/>
      <family val="2"/>
      <i/>
      <color rgb="FF7F7F7F"/>
      <sz val="11"/>
      <extLst>
        <ext uri="smNativeData">
          <pm:charSpec xmlns:pm="smNativeData" id="1597010558" fgClr="7F7F7F" ulstyle="none" kern="1">
            <pm:latin face="Arial" sz="220" lang="default" i="1"/>
            <pm:cs face="Times New Roman" sz="220" lang="default" i="1"/>
            <pm:ea face="SimSun" sz="220" lang="default" i="1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597010558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b/>
      <color rgb="FF000000"/>
      <sz val="11"/>
      <extLst>
        <ext uri="smNativeData">
          <pm:charSpec xmlns:pm="smNativeData" id="1597010558" ulstyle="none" kern="1">
            <pm:latin face="Arial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FFFFF"/>
        <extLst>
          <ext uri="smNativeData">
            <pm:shade xmlns:pm="smNativeData" id="1597010558" type="1" fgLvl="100" fgClr="00F2F2F2" bgLvl="0" bgClr="00FFFFFF"/>
          </ext>
        </extLst>
      </patternFill>
    </fill>
    <fill>
      <patternFill patternType="solid">
        <fgColor rgb="FF365F91"/>
        <bgColor rgb="FFFFFFFF"/>
        <extLst>
          <ext uri="smNativeData">
            <pm:shade xmlns:pm="smNativeData" id="1597010558" type="1" fgLvl="100" fgClr="00365F91" bgLvl="0" bgClr="00333399"/>
          </ext>
        </extLst>
      </patternFill>
    </fill>
    <fill>
      <patternFill patternType="solid">
        <fgColor rgb="FF365F91"/>
        <bgColor rgb="FFFFFFFF"/>
        <extLst>
          <ext uri="smNativeData">
            <pm:shade xmlns:pm="smNativeData" id="1597010558" type="1" fgLvl="100" fgClr="00365F91" bgLvl="0" bgClr="00333399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B4C7E7"/>
        <bgColor rgb="FFFFFFFF"/>
        <extLst>
          <ext uri="smNativeData">
            <pm:shade xmlns:pm="smNativeData" id="1597010558" type="1" fgLvl="100" fgClr="00B4C7E7" bgLvl="0" bgClr="00CCCC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597010558" type="1" fgLvl="100" fgClr="00B4C7E7" bgLvl="0" bgClr="00CCCC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597010558" type="1" fgLvl="100" fgClr="00B4C7E7" bgLvl="0" bgClr="00CCCC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597010558" type="1" fgLvl="100" fgClr="00B4C7E7" bgLvl="0" bgClr="00CCCC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597010558" type="1" fgLvl="100" fgClr="00B4C7E7" bgLvl="0" bgClr="00CCCC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7010558" type="1" fgLvl="100" fgClr="00FFFFFF" bgLvl="0" bgClr="00F2F2F2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7010558" type="1" fgLvl="100" fgClr="00FFFFFF" bgLvl="0" bgClr="00F2F2F2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597010558" type="1" fgLvl="100" fgClr="00B4C7E7" bgLvl="0" bgClr="00CCCC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7010558" type="1" fgLvl="100" fgClr="00FFFFFF" bgLvl="0" bgClr="00F2F2F2"/>
          </ext>
        </extLst>
      </patternFill>
    </fill>
    <fill>
      <patternFill patternType="solid">
        <fgColor rgb="FF365F91"/>
        <bgColor rgb="FFFFFFFF"/>
        <extLst>
          <ext uri="smNativeData">
            <pm:shade xmlns:pm="smNativeData" id="1597010558" type="1" fgLvl="100" fgClr="00365F91" bgLvl="0" bgClr="00333399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7010558" type="1" fgLvl="100" fgClr="00FFFFFF" bgLvl="100" bgClr="00000000"/>
          </ext>
        </extLst>
      </patternFill>
    </fill>
  </fills>
  <borders count="2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01055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7010558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010558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7010558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7010558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7010558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01055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0105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597010558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597010558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7010558">
            <pm:line position="top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010558"/>
        </ext>
      </extLst>
    </border>
  </borders>
  <cellStyleXfs count="6">
    <xf numFmtId="0" fontId="0" fillId="0" borderId="0" applyNumberFormat="1" applyFont="1" applyFill="1" applyBorder="1" applyAlignment="1" applyProtection="1"/>
    <xf numFmtId="166" fontId="1" fillId="0" borderId="0" applyNumberFormat="1" applyFont="1" applyFill="1" applyBorder="0" applyAlignment="0" applyProtection="0"/>
    <xf numFmtId="167" fontId="1" fillId="0" borderId="0" applyNumberFormat="1" applyFont="1" applyFill="1" applyBorder="0" applyAlignment="0" applyProtection="0"/>
    <xf numFmtId="168" fontId="1" fillId="0" borderId="0" applyNumberFormat="1" applyFont="1" applyFill="1" applyBorder="0" applyAlignment="0" applyProtection="0"/>
    <xf numFmtId="169" fontId="1" fillId="0" borderId="0" applyNumberFormat="1" applyFont="1" applyFill="1" applyBorder="0" applyAlignment="0" applyProtection="0"/>
    <xf numFmtId="9" fontId="1" fillId="0" borderId="0" applyNumberFormat="1" applyFont="1" applyFill="1" applyBorder="0" applyAlignment="0" applyProtection="0"/>
  </cellStyleXfs>
  <cellXfs count="46">
    <xf numFmtId="0" fontId="0" fillId="0" borderId="0" xfId="0"/>
    <xf numFmtId="166" fontId="1" fillId="0" borderId="0" xfId="1"/>
    <xf numFmtId="167" fontId="1" fillId="0" borderId="0" xfId="2"/>
    <xf numFmtId="168" fontId="1" fillId="0" borderId="0" xfId="3"/>
    <xf numFmtId="169" fontId="1" fillId="0" borderId="0" xfId="4"/>
    <xf numFmtId="9" fontId="1" fillId="0" borderId="0" xfId="5"/>
    <xf numFmtId="0" fontId="0" fillId="2" borderId="1" xfId="0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164" fontId="5" fillId="0" borderId="5" xfId="0" applyNumberFormat="1" applyFont="1" applyBorder="1" applyAlignment="1">
      <alignment horizontal="left" vertical="center" wrapText="1"/>
    </xf>
    <xf numFmtId="165" fontId="5" fillId="0" borderId="5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0" fillId="0" borderId="6" xfId="0" applyBorder="1"/>
    <xf numFmtId="0" fontId="7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9" borderId="8" xfId="0" applyFill="1"/>
    <xf numFmtId="0" fontId="0" fillId="10" borderId="9" xfId="0" applyFill="1" applyBorder="1"/>
    <xf numFmtId="0" fontId="0" fillId="11" borderId="10" xfId="0" applyFill="1" applyBorder="1"/>
    <xf numFmtId="0" fontId="0" fillId="12" borderId="11" xfId="0" applyFill="1" applyBorder="1"/>
    <xf numFmtId="0" fontId="0" fillId="13" borderId="12" xfId="0" applyFill="1" applyBorder="1"/>
    <xf numFmtId="0" fontId="7" fillId="0" borderId="0" xfId="0" applyFont="1" applyAlignment="1">
      <alignment horizontal="center" vertical="center" wrapText="1"/>
    </xf>
    <xf numFmtId="0" fontId="8" fillId="14" borderId="13" xfId="0" applyFont="1" applyFill="1" applyBorder="1" applyAlignment="1">
      <alignment horizontal="center" vertical="center" wrapText="1"/>
    </xf>
    <xf numFmtId="0" fontId="4" fillId="15" borderId="14" xfId="0" applyFont="1" applyFill="1" applyAlignment="1">
      <alignment horizontal="center" vertical="center" wrapText="1"/>
    </xf>
    <xf numFmtId="0" fontId="0" fillId="16" borderId="15" xfId="0" applyFill="1" applyBorder="1" applyAlignment="1">
      <alignment horizontal="left"/>
    </xf>
    <xf numFmtId="10" fontId="0" fillId="17" borderId="16" xfId="0" applyNumberFormat="1" applyFill="1" applyBorder="1" applyAlignment="1">
      <alignment horizontal="center" vertical="center" wrapText="1"/>
    </xf>
    <xf numFmtId="10" fontId="0" fillId="15" borderId="14" xfId="0" applyNumberForma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18" borderId="1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17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597010558" count="1">
        <pm:charStyle name="Normal" fontId="0" Id="1"/>
      </pm:charStyles>
      <pm:colors xmlns:pm="smNativeData" id="1597010558" count="5">
        <pm:color name="Color 24" rgb="F2F2F2"/>
        <pm:color name="Color 25" rgb="365F91"/>
        <pm:color name="Color 26" rgb="333399"/>
        <pm:color name="Color 27" rgb="B4C7E7"/>
        <pm:color name="Color 28" rgb="CCCC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186055</xdr:colOff>
      <xdr:row>0</xdr:row>
      <xdr:rowOff>28575</xdr:rowOff>
    </xdr:from>
    <xdr:to>
      <xdr:col>1</xdr:col>
      <xdr:colOff>694690</xdr:colOff>
      <xdr:row>0</xdr:row>
      <xdr:rowOff>568960</xdr:rowOff>
    </xdr:to>
    <xdr:pic macro="">
      <xdr:nvPicPr>
        <xdr:cNvPr id="3" name="Imagen 1"/>
        <xdr:cNvPicPr>
          <a:extLst>
            <a:ext uri="smNativeData">
              <pm:smNativeData xmlns:pm="smNativeData" val="SMDATA_13_fnIwXx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AAAAABAAAAMADYAAAAAAABAAAAvAMlA8QCAAAtAAAAIQMAAFMDAAAA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" y="28575"/>
          <a:ext cx="508635" cy="5403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8</xdr:col>
      <xdr:colOff>114935</xdr:colOff>
      <xdr:row>0</xdr:row>
      <xdr:rowOff>47625</xdr:rowOff>
    </xdr:from>
    <xdr:to>
      <xdr:col>8</xdr:col>
      <xdr:colOff>627380</xdr:colOff>
      <xdr:row>0</xdr:row>
      <xdr:rowOff>569595</xdr:rowOff>
    </xdr:to>
    <xdr:pic macro="">
      <xdr:nvPicPr>
        <xdr:cNvPr id="2" name="Imagen 2"/>
        <xdr:cNvPicPr>
          <a:extLst>
            <a:ext uri="smNativeData">
              <pm:smNativeData xmlns:pm="smNativeData" val="SMDATA_13_fnIwXx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GgMAAAoDAAC2AgAAFAM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AAAAAIAAAAUACNAAAAAAAIAAAAvQMEA34nAABLAAAAJwMAADYDAAAAAAAA"/>
            </a:ext>
          </a:extLst>
        </xdr:cNvPicPr>
      </xdr:nvPicPr>
      <xdr:blipFill>
        <a:blip xmlns:r="http://schemas.openxmlformats.org/officeDocument/2006/relationships" r:embed="rId2"/>
        <a:srcRect l="7940" t="7780" r="6940" b="7880"/>
        <a:stretch>
          <a:fillRect/>
        </a:stretch>
      </xdr:blipFill>
      <xdr:spPr>
        <a:xfrm>
          <a:off x="6419850" y="47625"/>
          <a:ext cx="512445" cy="5219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70"/>
  <sheetViews>
    <sheetView tabSelected="1" view="normal" workbookViewId="0">
      <selection activeCell="D13" sqref="D13:I13"/>
    </sheetView>
  </sheetViews>
  <sheetFormatPr baseColWidth="10" defaultColWidth="10.794643" defaultRowHeight="15.40"/>
  <cols>
    <col min="1" max="1" width="3.705357" customWidth="1" style="0"/>
    <col min="2" max="2" width="12.419643" customWidth="1" style="0"/>
    <col min="3" max="3" width="12.142857" customWidth="1" style="0"/>
    <col min="6" max="6" width="13.571429" customWidth="1" style="0"/>
    <col min="8" max="8" width="14.428571" customWidth="1" style="0"/>
    <col min="9" max="9" width="11.705357" customWidth="1" style="0"/>
  </cols>
  <sheetData>
    <row r="1" spans="2:9" ht="48" customHeight="1">
      <c r="B1" s="6"/>
      <c r="C1" s="7" t="s">
        <v>0</v>
      </c>
      <c r="D1" s="7"/>
      <c r="E1" s="7"/>
      <c r="F1" s="7"/>
      <c r="G1" s="7"/>
      <c r="H1" s="7"/>
      <c r="I1" s="8"/>
    </row>
    <row r="2" spans="2:9" ht="15" customHeight="1">
      <c r="B2" s="9" t="s">
        <v>1</v>
      </c>
      <c r="C2" s="9"/>
      <c r="D2" s="9" t="s">
        <v>2</v>
      </c>
      <c r="E2" s="9" t="s">
        <v>3</v>
      </c>
      <c r="F2" s="9"/>
      <c r="G2" s="9"/>
      <c r="H2" s="9" t="s">
        <v>4</v>
      </c>
      <c r="I2" s="9"/>
    </row>
    <row r="4" spans="5:9" ht="15" customHeight="1">
      <c r="E4" s="10" t="s">
        <v>5</v>
      </c>
      <c r="F4" s="10"/>
      <c r="G4" s="10"/>
      <c r="H4" s="11" t="n">
        <v>1</v>
      </c>
      <c r="I4" s="11"/>
    </row>
    <row r="5" spans="5:9" ht="15" customHeight="1">
      <c r="E5" s="12" t="s">
        <v>6</v>
      </c>
      <c r="F5" s="12"/>
      <c r="G5" s="12"/>
      <c r="H5" s="13" t="n">
        <v>1</v>
      </c>
      <c r="I5" s="13"/>
    </row>
    <row r="6" spans="5:8" ht="17.25" customHeight="1">
      <c r="E6" s="14"/>
      <c r="F6" s="14"/>
      <c r="G6" s="15"/>
      <c r="H6" s="15"/>
    </row>
    <row r="7" spans="2:9" ht="28.50" customHeight="1">
      <c r="B7" s="16" t="s">
        <v>7</v>
      </c>
      <c r="C7" s="16"/>
      <c r="D7" s="17" t="s">
        <v>8</v>
      </c>
      <c r="E7" s="17"/>
      <c r="F7" s="17"/>
      <c r="G7" s="17"/>
      <c r="H7" s="17"/>
      <c r="I7" s="17"/>
    </row>
    <row r="8" spans="2:9" ht="15.75" customHeight="1">
      <c r="B8" s="16" t="s">
        <v>9</v>
      </c>
      <c r="C8" s="16"/>
      <c r="D8" s="17" t="s">
        <v>10</v>
      </c>
      <c r="E8" s="17"/>
      <c r="F8" s="17"/>
      <c r="G8" s="17"/>
      <c r="H8" s="17"/>
      <c r="I8" s="17"/>
    </row>
    <row r="9" spans="2:9" ht="15.75" customHeight="1">
      <c r="B9" s="16" t="s">
        <v>11</v>
      </c>
      <c r="C9" s="16"/>
      <c r="D9" s="18" t="n">
        <v>1</v>
      </c>
      <c r="E9" s="18"/>
      <c r="F9" s="18"/>
      <c r="G9" s="18"/>
      <c r="H9" s="18"/>
      <c r="I9" s="18"/>
    </row>
    <row r="10" spans="2:9" ht="15.75" customHeight="1">
      <c r="B10" s="16" t="s">
        <v>12</v>
      </c>
      <c r="C10" s="16"/>
      <c r="D10" s="17" t="s">
        <v>13</v>
      </c>
      <c r="E10" s="17"/>
      <c r="F10" s="17"/>
      <c r="G10" s="17"/>
      <c r="H10" s="17"/>
      <c r="I10" s="17"/>
    </row>
    <row r="11" spans="2:9" ht="15.75" customHeight="1">
      <c r="B11" s="16" t="s">
        <v>14</v>
      </c>
      <c r="C11" s="16"/>
      <c r="D11" s="17" t="s">
        <v>15</v>
      </c>
      <c r="E11" s="17"/>
      <c r="F11" s="17"/>
      <c r="G11" s="17"/>
      <c r="H11" s="17"/>
      <c r="I11" s="17"/>
    </row>
    <row r="12" spans="2:9" ht="26.25" customHeight="1">
      <c r="B12" s="16" t="s">
        <v>16</v>
      </c>
      <c r="C12" s="16"/>
      <c r="D12" s="17" t="s">
        <v>17</v>
      </c>
      <c r="E12" s="17"/>
      <c r="F12" s="17"/>
      <c r="G12" s="17"/>
      <c r="H12" s="17"/>
      <c r="I12" s="17"/>
    </row>
    <row r="13" spans="2:9" ht="15.75" customHeight="1">
      <c r="B13" s="16" t="s">
        <v>14</v>
      </c>
      <c r="C13" s="16"/>
      <c r="D13" s="17" t="s">
        <v>18</v>
      </c>
      <c r="E13" s="17"/>
      <c r="F13" s="17"/>
      <c r="G13" s="17"/>
      <c r="H13" s="17"/>
      <c r="I13" s="17"/>
    </row>
    <row r="14" spans="2:9" ht="28.50" customHeight="1">
      <c r="B14" s="16" t="s">
        <v>19</v>
      </c>
      <c r="C14" s="16"/>
      <c r="D14" s="17" t="s">
        <v>20</v>
      </c>
      <c r="E14" s="17"/>
      <c r="F14" s="17"/>
      <c r="G14" s="17"/>
      <c r="H14" s="17"/>
      <c r="I14" s="17"/>
    </row>
    <row r="15" spans="2:9" ht="15" customHeight="1">
      <c r="B15" s="16" t="s">
        <v>14</v>
      </c>
      <c r="C15" s="16"/>
      <c r="D15" s="17" t="s">
        <v>15</v>
      </c>
      <c r="E15" s="17"/>
      <c r="F15" s="17"/>
      <c r="G15" s="17"/>
      <c r="H15" s="17"/>
      <c r="I15" s="17"/>
    </row>
    <row r="16" spans="2:9" ht="15" customHeight="1">
      <c r="B16" s="16" t="s">
        <v>21</v>
      </c>
      <c r="C16" s="16"/>
      <c r="D16" s="19" t="n">
        <v>43854</v>
      </c>
      <c r="E16" s="19"/>
      <c r="F16" s="19"/>
      <c r="G16" s="19"/>
      <c r="H16" s="19"/>
      <c r="I16" s="19"/>
    </row>
    <row r="17" spans="2:9" ht="17.25" customHeight="1">
      <c r="B17" s="20"/>
      <c r="C17" s="20"/>
      <c r="D17" s="21"/>
      <c r="E17" s="21"/>
      <c r="F17" s="21"/>
      <c r="G17" s="21"/>
      <c r="H17" s="21"/>
      <c r="I17" s="21"/>
    </row>
    <row r="18" spans="2:9" ht="24" customHeight="1">
      <c r="B18" s="10" t="s">
        <v>22</v>
      </c>
      <c r="C18" s="10"/>
      <c r="D18" s="10"/>
      <c r="E18" s="10" t="s">
        <v>23</v>
      </c>
      <c r="F18" s="10" t="s">
        <v>24</v>
      </c>
      <c r="G18" s="10" t="s">
        <v>25</v>
      </c>
      <c r="H18" s="10" t="s">
        <v>26</v>
      </c>
      <c r="I18" s="10"/>
    </row>
    <row r="19" spans="1:10" ht="64.90" customHeight="1">
      <c r="A19" s="22" t="n">
        <v>1</v>
      </c>
      <c r="B19" s="23" t="s">
        <v>27</v>
      </c>
      <c r="C19" s="23"/>
      <c r="D19" s="23"/>
      <c r="E19" s="24" t="n">
        <v>1</v>
      </c>
      <c r="F19" s="24"/>
      <c r="G19" s="24"/>
      <c r="H19" s="13"/>
      <c r="I19" s="13"/>
      <c r="J19" s="15"/>
    </row>
    <row r="20" spans="1:10" ht="52.20" customHeight="1">
      <c r="A20" s="22" t="n">
        <v>2</v>
      </c>
      <c r="B20" s="23" t="s">
        <v>28</v>
      </c>
      <c r="C20" s="23"/>
      <c r="D20" s="23"/>
      <c r="E20" s="24" t="n">
        <v>1</v>
      </c>
      <c r="F20" s="24"/>
      <c r="G20" s="24"/>
      <c r="H20" s="13"/>
      <c r="I20" s="13"/>
      <c r="J20" s="15"/>
    </row>
    <row r="21" spans="1:10" ht="52.20" customHeight="1">
      <c r="A21" s="22" t="n">
        <v>3</v>
      </c>
      <c r="B21" s="23" t="s">
        <v>29</v>
      </c>
      <c r="C21" s="23"/>
      <c r="D21" s="23"/>
      <c r="E21" s="24" t="n">
        <v>1</v>
      </c>
      <c r="F21" s="24"/>
      <c r="G21" s="24"/>
      <c r="H21" s="13"/>
      <c r="I21" s="13"/>
      <c r="J21" s="15"/>
    </row>
    <row r="22" spans="1:10" ht="39.55" customHeight="1">
      <c r="A22" s="22" t="n">
        <v>4</v>
      </c>
      <c r="B22" s="23" t="s">
        <v>30</v>
      </c>
      <c r="C22" s="23"/>
      <c r="D22" s="23"/>
      <c r="E22" s="24" t="n">
        <v>1</v>
      </c>
      <c r="F22" s="24"/>
      <c r="G22" s="24"/>
      <c r="H22" s="13"/>
      <c r="I22" s="13"/>
      <c r="J22" s="15"/>
    </row>
    <row r="23" spans="1:10" ht="39.55" customHeight="1">
      <c r="A23" s="22" t="n">
        <v>5</v>
      </c>
      <c r="B23" s="23" t="s">
        <v>31</v>
      </c>
      <c r="C23" s="23"/>
      <c r="D23" s="23"/>
      <c r="E23" s="24" t="n">
        <v>1</v>
      </c>
      <c r="F23" s="24"/>
      <c r="G23" s="24"/>
      <c r="H23" s="13"/>
      <c r="I23" s="13"/>
      <c r="J23" s="15"/>
    </row>
    <row r="24" spans="1:10" ht="39.55" customHeight="1">
      <c r="A24" s="22" t="n">
        <v>6</v>
      </c>
      <c r="B24" s="23" t="s">
        <v>32</v>
      </c>
      <c r="C24" s="23"/>
      <c r="D24" s="23"/>
      <c r="E24" s="24" t="n">
        <v>1</v>
      </c>
      <c r="F24" s="24"/>
      <c r="G24" s="24"/>
      <c r="H24" s="13"/>
      <c r="I24" s="13"/>
      <c r="J24" s="15"/>
    </row>
    <row r="25" spans="1:10" ht="39.55" customHeight="1">
      <c r="A25" s="22" t="n">
        <v>7</v>
      </c>
      <c r="B25" s="23" t="s">
        <v>33</v>
      </c>
      <c r="C25" s="23"/>
      <c r="D25" s="23"/>
      <c r="E25" s="24" t="n">
        <v>1</v>
      </c>
      <c r="F25" s="24"/>
      <c r="G25" s="24"/>
      <c r="H25" s="13"/>
      <c r="I25" s="13"/>
      <c r="J25" s="15"/>
    </row>
    <row r="26" spans="1:10" ht="52.20" customHeight="1">
      <c r="A26" s="22" t="n">
        <v>8</v>
      </c>
      <c r="B26" s="23" t="s">
        <v>34</v>
      </c>
      <c r="C26" s="23"/>
      <c r="D26" s="23"/>
      <c r="E26" s="24" t="n">
        <v>1</v>
      </c>
      <c r="F26" s="24"/>
      <c r="G26" s="24"/>
      <c r="H26" s="13"/>
      <c r="I26" s="13"/>
      <c r="J26" s="15"/>
    </row>
    <row r="27" spans="1:10">
      <c r="A27" s="22"/>
      <c r="B27" s="23"/>
      <c r="C27" s="23"/>
      <c r="D27" s="23"/>
      <c r="E27" s="24"/>
      <c r="F27" s="24"/>
      <c r="G27" s="24"/>
      <c r="H27" s="13"/>
      <c r="I27" s="13"/>
      <c r="J27" s="15"/>
    </row>
    <row r="28" spans="1:10">
      <c r="A28" s="22"/>
      <c r="B28" s="23"/>
      <c r="C28" s="23"/>
      <c r="D28" s="23"/>
      <c r="E28" s="24"/>
      <c r="F28" s="24"/>
      <c r="G28" s="24"/>
      <c r="H28" s="13"/>
      <c r="I28" s="13"/>
      <c r="J28" s="15"/>
    </row>
    <row r="29" spans="2:7">
      <c r="B29" s="25">
        <f>COUNT(A19:A26)</f>
        <v>8</v>
      </c>
      <c r="C29" s="26" t="s">
        <v>35</v>
      </c>
      <c r="D29" s="27"/>
      <c r="E29" s="25">
        <f>SUM(E19:E26)</f>
        <v>8</v>
      </c>
      <c r="F29" s="25">
        <f>SUM(F19:F24)</f>
        <v>0</v>
      </c>
      <c r="G29" s="25">
        <f>SUM(G19:G24)</f>
        <v>0</v>
      </c>
    </row>
    <row r="30" spans="2:7">
      <c r="B30" s="15"/>
      <c r="C30" s="28" t="s">
        <v>36</v>
      </c>
      <c r="D30" s="29"/>
      <c r="E30" s="13">
        <f>E29+F29+G29</f>
        <v>8</v>
      </c>
      <c r="F30" s="13"/>
      <c r="G30" s="13"/>
    </row>
    <row r="32" spans="2:9" ht="30.75" customHeight="1">
      <c r="B32" s="10" t="s">
        <v>37</v>
      </c>
      <c r="C32" s="10"/>
      <c r="D32" s="10"/>
      <c r="E32" s="10" t="s">
        <v>23</v>
      </c>
      <c r="F32" s="10" t="s">
        <v>24</v>
      </c>
      <c r="G32" s="10" t="s">
        <v>25</v>
      </c>
      <c r="H32" s="10" t="s">
        <v>26</v>
      </c>
      <c r="I32" s="10"/>
    </row>
    <row r="33" spans="1:9" ht="26.85" customHeight="1">
      <c r="A33" s="22" t="n">
        <v>1</v>
      </c>
      <c r="B33" s="23" t="s">
        <v>38</v>
      </c>
      <c r="C33" s="23"/>
      <c r="D33" s="23"/>
      <c r="E33" s="24" t="n">
        <v>1</v>
      </c>
      <c r="F33" s="24"/>
      <c r="G33" s="24"/>
      <c r="H33" s="13"/>
      <c r="I33" s="13"/>
    </row>
    <row r="34" spans="1:9" ht="26.85" customHeight="1">
      <c r="A34" s="22" t="n">
        <v>2</v>
      </c>
      <c r="B34" s="23" t="s">
        <v>39</v>
      </c>
      <c r="C34" s="23"/>
      <c r="D34" s="23"/>
      <c r="E34" s="24" t="n">
        <v>1</v>
      </c>
      <c r="F34" s="24"/>
      <c r="G34" s="24"/>
      <c r="H34" s="13"/>
      <c r="I34" s="13"/>
    </row>
    <row r="35" spans="1:9" ht="26.85" customHeight="1">
      <c r="A35" s="22" t="n">
        <v>3</v>
      </c>
      <c r="B35" s="23" t="s">
        <v>40</v>
      </c>
      <c r="C35" s="23"/>
      <c r="D35" s="23"/>
      <c r="E35" s="24" t="n">
        <v>1</v>
      </c>
      <c r="F35" s="24"/>
      <c r="G35" s="24"/>
      <c r="H35" s="13"/>
      <c r="I35" s="13"/>
    </row>
    <row r="36" spans="2:7">
      <c r="B36" s="25">
        <f>COUNT(A33:A35)</f>
        <v>3</v>
      </c>
      <c r="C36" s="30" t="s">
        <v>35</v>
      </c>
      <c r="D36" s="27"/>
      <c r="E36" s="25">
        <f>SUM(E33:E35)</f>
        <v>3</v>
      </c>
      <c r="F36" s="25">
        <f>SUM(F33:F35)</f>
        <v>0</v>
      </c>
      <c r="G36" s="25">
        <f>SUM(G33:G35)</f>
        <v>0</v>
      </c>
    </row>
    <row r="37" spans="2:7">
      <c r="B37" s="15"/>
      <c r="C37" s="28" t="s">
        <v>36</v>
      </c>
      <c r="D37" s="29"/>
      <c r="E37" s="13">
        <f>E36+F36+G36</f>
        <v>3</v>
      </c>
      <c r="F37" s="13"/>
      <c r="G37" s="13"/>
    </row>
    <row r="38" spans="2:9">
      <c r="B38" s="31"/>
      <c r="C38" s="31"/>
      <c r="D38" s="31"/>
      <c r="E38" s="31"/>
      <c r="F38" s="31"/>
      <c r="G38" s="14"/>
      <c r="H38" s="14"/>
      <c r="I38" s="14"/>
    </row>
    <row r="39" spans="1:9" ht="20.25" customHeight="1">
      <c r="A39">
        <f>B36+B29</f>
        <v>11</v>
      </c>
      <c r="B39" s="32" t="s">
        <v>41</v>
      </c>
      <c r="C39" s="32"/>
      <c r="D39" s="33"/>
      <c r="E39" s="33"/>
      <c r="F39" s="33"/>
      <c r="G39" s="33"/>
      <c r="H39" s="33"/>
      <c r="I39" s="33"/>
    </row>
    <row r="40" spans="2:9">
      <c r="B40" s="34" t="s">
        <v>42</v>
      </c>
      <c r="C40" s="34"/>
      <c r="D40" s="34"/>
      <c r="E40" s="34"/>
      <c r="F40" s="35">
        <f>(E37+E30)/A39</f>
        <v>1</v>
      </c>
      <c r="G40" s="35"/>
      <c r="H40" s="36"/>
      <c r="I40" s="33"/>
    </row>
    <row r="42" spans="2:2">
      <c r="B42" s="37" t="s">
        <v>43</v>
      </c>
    </row>
    <row r="44" spans="2:9" ht="15" customHeight="1">
      <c r="B44" s="12" t="s">
        <v>44</v>
      </c>
      <c r="C44" s="12" t="s">
        <v>45</v>
      </c>
      <c r="D44" s="12"/>
      <c r="E44" s="12"/>
      <c r="F44" s="12" t="s">
        <v>46</v>
      </c>
      <c r="G44" s="12"/>
      <c r="H44" s="38" t="s">
        <v>47</v>
      </c>
      <c r="I44" s="14"/>
    </row>
    <row r="45" spans="2:9">
      <c r="B45" s="39" t="n">
        <v>1</v>
      </c>
      <c r="C45" s="39" t="s">
        <v>17</v>
      </c>
      <c r="D45" s="39"/>
      <c r="E45" s="39"/>
      <c r="F45" s="39"/>
      <c r="G45" s="39"/>
      <c r="H45" s="40"/>
      <c r="I45" s="14"/>
    </row>
    <row r="46" spans="2:9">
      <c r="B46" s="39"/>
      <c r="C46" s="39"/>
      <c r="D46" s="39"/>
      <c r="E46" s="39"/>
      <c r="F46" s="39"/>
      <c r="G46" s="39"/>
      <c r="H46" s="40"/>
      <c r="I46" s="14"/>
    </row>
    <row r="47" spans="2:9" ht="19.50" customHeight="1">
      <c r="B47" s="31"/>
      <c r="C47" s="41" t="s">
        <v>48</v>
      </c>
      <c r="D47" s="41"/>
      <c r="E47" s="41"/>
      <c r="H47" s="42" t="s">
        <v>49</v>
      </c>
      <c r="I47" s="14"/>
    </row>
    <row r="48" spans="9:9">
      <c r="I48" s="14"/>
    </row>
    <row r="49" spans="2:9" ht="15.75" customHeight="1">
      <c r="B49" s="12" t="s">
        <v>44</v>
      </c>
      <c r="C49" s="12" t="s">
        <v>45</v>
      </c>
      <c r="D49" s="12"/>
      <c r="E49" s="12"/>
      <c r="F49" s="12" t="s">
        <v>46</v>
      </c>
      <c r="G49" s="12"/>
      <c r="H49" s="38" t="s">
        <v>47</v>
      </c>
      <c r="I49" s="14"/>
    </row>
    <row r="50" spans="2:9" ht="13.80" customHeight="1">
      <c r="B50" s="39" t="n">
        <v>2</v>
      </c>
      <c r="C50" s="39" t="s">
        <v>17</v>
      </c>
      <c r="D50" s="39"/>
      <c r="E50" s="39"/>
      <c r="F50" s="39"/>
      <c r="G50" s="39"/>
      <c r="H50" s="40"/>
      <c r="I50" s="14"/>
    </row>
    <row r="51" spans="2:9">
      <c r="B51" s="39"/>
      <c r="C51" s="39"/>
      <c r="D51" s="39"/>
      <c r="E51" s="39"/>
      <c r="F51" s="39"/>
      <c r="G51" s="39"/>
      <c r="H51" s="40"/>
      <c r="I51" s="14"/>
    </row>
    <row r="52" spans="2:9" ht="18.75" customHeight="1">
      <c r="B52" s="31"/>
      <c r="C52" s="41" t="s">
        <v>50</v>
      </c>
      <c r="D52" s="41"/>
      <c r="E52" s="41"/>
      <c r="H52" s="42" t="s">
        <v>49</v>
      </c>
      <c r="I52" s="14"/>
    </row>
    <row r="53" spans="9:9">
      <c r="I53" s="14"/>
    </row>
    <row r="54" spans="2:9" ht="15" customHeight="1">
      <c r="B54" s="12" t="s">
        <v>44</v>
      </c>
      <c r="C54" s="12" t="s">
        <v>45</v>
      </c>
      <c r="D54" s="12"/>
      <c r="E54" s="12"/>
      <c r="F54" s="12" t="s">
        <v>46</v>
      </c>
      <c r="G54" s="12"/>
      <c r="H54" s="38" t="s">
        <v>47</v>
      </c>
      <c r="I54" s="14"/>
    </row>
    <row r="55" spans="2:9" ht="15" customHeight="1">
      <c r="B55" s="39" t="n">
        <v>3</v>
      </c>
      <c r="C55" s="39" t="s">
        <v>20</v>
      </c>
      <c r="D55" s="39"/>
      <c r="E55" s="39"/>
      <c r="F55" s="39"/>
      <c r="G55" s="39"/>
      <c r="H55" s="40"/>
      <c r="I55" s="14"/>
    </row>
    <row r="56" spans="2:9">
      <c r="B56" s="39"/>
      <c r="C56" s="39"/>
      <c r="D56" s="39"/>
      <c r="E56" s="39"/>
      <c r="F56" s="39"/>
      <c r="G56" s="39"/>
      <c r="H56" s="40"/>
      <c r="I56" s="14"/>
    </row>
    <row r="57" spans="2:9" ht="15" customHeight="1">
      <c r="B57" s="31"/>
      <c r="C57" s="41" t="s">
        <v>51</v>
      </c>
      <c r="D57" s="41"/>
      <c r="E57" s="41"/>
      <c r="H57" s="42" t="s">
        <v>49</v>
      </c>
      <c r="I57" s="14"/>
    </row>
    <row r="58" spans="9:9">
      <c r="I58" s="14"/>
    </row>
    <row r="59" spans="2:9" ht="15" customHeight="1">
      <c r="B59" s="12" t="s">
        <v>44</v>
      </c>
      <c r="C59" s="12" t="s">
        <v>45</v>
      </c>
      <c r="D59" s="12"/>
      <c r="E59" s="12"/>
      <c r="F59" s="12" t="s">
        <v>46</v>
      </c>
      <c r="G59" s="12"/>
      <c r="H59" s="38" t="s">
        <v>47</v>
      </c>
      <c r="I59" s="14"/>
    </row>
    <row r="60" spans="2:9" ht="15" customHeight="1">
      <c r="B60" s="39" t="n">
        <v>4</v>
      </c>
      <c r="C60" s="39" t="s">
        <v>13</v>
      </c>
      <c r="D60" s="39"/>
      <c r="E60" s="39"/>
      <c r="F60" s="39"/>
      <c r="G60" s="39"/>
      <c r="H60" s="40"/>
      <c r="I60" s="14"/>
    </row>
    <row r="61" spans="2:9">
      <c r="B61" s="39"/>
      <c r="C61" s="39"/>
      <c r="D61" s="39"/>
      <c r="E61" s="39"/>
      <c r="F61" s="39"/>
      <c r="G61" s="39"/>
      <c r="H61" s="40"/>
      <c r="I61" s="14"/>
    </row>
    <row r="62" spans="2:9" ht="15" customHeight="1">
      <c r="B62" s="31"/>
      <c r="C62" s="41" t="s">
        <v>52</v>
      </c>
      <c r="D62" s="41"/>
      <c r="E62" s="41"/>
      <c r="H62" s="42" t="s">
        <v>49</v>
      </c>
      <c r="I62" s="14"/>
    </row>
    <row r="63" spans="9:9">
      <c r="I63" s="14"/>
    </row>
    <row r="64" spans="2:9" ht="15" customHeight="1">
      <c r="B64" s="12" t="s">
        <v>26</v>
      </c>
      <c r="C64" s="12"/>
      <c r="D64" s="12"/>
      <c r="E64" s="12"/>
      <c r="F64" s="12"/>
      <c r="G64" s="12"/>
      <c r="H64" s="12"/>
      <c r="I64" s="14"/>
    </row>
    <row r="65" spans="2:9">
      <c r="B65" s="43"/>
      <c r="C65" s="43"/>
      <c r="D65" s="43"/>
      <c r="E65" s="43"/>
      <c r="F65" s="43"/>
      <c r="G65" s="43"/>
      <c r="H65" s="43"/>
      <c r="I65" s="14"/>
    </row>
    <row r="66" spans="2:9">
      <c r="B66" s="43"/>
      <c r="C66" s="43"/>
      <c r="D66" s="43"/>
      <c r="E66" s="43"/>
      <c r="F66" s="43"/>
      <c r="G66" s="43"/>
      <c r="H66" s="43"/>
      <c r="I66" s="14"/>
    </row>
    <row r="68" spans="2:9" ht="15" customHeight="1">
      <c r="B68" s="44" t="s">
        <v>53</v>
      </c>
      <c r="C68" s="44"/>
      <c r="D68" s="44"/>
      <c r="E68" s="44"/>
      <c r="F68" s="44"/>
      <c r="G68" s="44"/>
      <c r="H68" s="44"/>
      <c r="I68" s="45"/>
    </row>
    <row r="69" spans="2:9">
      <c r="B69" s="44"/>
      <c r="C69" s="44"/>
      <c r="D69" s="44"/>
      <c r="E69" s="44"/>
      <c r="F69" s="44"/>
      <c r="G69" s="44"/>
      <c r="H69" s="44"/>
      <c r="I69" s="45"/>
    </row>
    <row r="70" spans="2:9">
      <c r="B70" s="44"/>
      <c r="C70" s="44"/>
      <c r="D70" s="44"/>
      <c r="E70" s="44"/>
      <c r="F70" s="44"/>
      <c r="G70" s="44"/>
      <c r="H70" s="44"/>
      <c r="I70" s="45"/>
    </row>
  </sheetData>
  <mergeCells count="91">
    <mergeCell ref="C1:H1"/>
    <mergeCell ref="B2:C2"/>
    <mergeCell ref="E2:G2"/>
    <mergeCell ref="H2:I2"/>
    <mergeCell ref="E4:G4"/>
    <mergeCell ref="H4:I4"/>
    <mergeCell ref="E5:G5"/>
    <mergeCell ref="H5:I5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B23:D23"/>
    <mergeCell ref="H23:I23"/>
    <mergeCell ref="B24:D24"/>
    <mergeCell ref="H24:I24"/>
    <mergeCell ref="B25:D25"/>
    <mergeCell ref="B26:D26"/>
    <mergeCell ref="B27:D27"/>
    <mergeCell ref="B28:D28"/>
    <mergeCell ref="E30:G30"/>
    <mergeCell ref="B32:D32"/>
    <mergeCell ref="H32:I32"/>
    <mergeCell ref="B33:D33"/>
    <mergeCell ref="H33:I33"/>
    <mergeCell ref="B34:D34"/>
    <mergeCell ref="H34:I34"/>
    <mergeCell ref="B35:D35"/>
    <mergeCell ref="H35:I35"/>
    <mergeCell ref="E37:G37"/>
    <mergeCell ref="B39:C39"/>
    <mergeCell ref="B40:E40"/>
    <mergeCell ref="F40:G40"/>
    <mergeCell ref="C44:E44"/>
    <mergeCell ref="F44:G44"/>
    <mergeCell ref="I44:I66"/>
    <mergeCell ref="B45:B46"/>
    <mergeCell ref="C45:E46"/>
    <mergeCell ref="F45:G46"/>
    <mergeCell ref="H45:H46"/>
    <mergeCell ref="C47:E47"/>
    <mergeCell ref="C49:E49"/>
    <mergeCell ref="F49:G49"/>
    <mergeCell ref="B50:B51"/>
    <mergeCell ref="C50:E51"/>
    <mergeCell ref="F50:G51"/>
    <mergeCell ref="H50:H51"/>
    <mergeCell ref="C52:E52"/>
    <mergeCell ref="C54:E54"/>
    <mergeCell ref="F54:G54"/>
    <mergeCell ref="B55:B56"/>
    <mergeCell ref="C55:E56"/>
    <mergeCell ref="F55:G56"/>
    <mergeCell ref="H55:H56"/>
    <mergeCell ref="C57:E57"/>
    <mergeCell ref="C59:E59"/>
    <mergeCell ref="F59:G59"/>
    <mergeCell ref="B60:B61"/>
    <mergeCell ref="C60:E61"/>
    <mergeCell ref="F60:G61"/>
    <mergeCell ref="H60:H61"/>
    <mergeCell ref="C62:E62"/>
    <mergeCell ref="B64:H64"/>
    <mergeCell ref="B65:H66"/>
    <mergeCell ref="B68:H70"/>
  </mergeCells>
  <printOptions horizontalCentered="1">
    <extLst>
      <ext uri="smNativeData">
        <pm:pageFlags xmlns:pm="smNativeData" id="1597010558" printRowHead="0" printColHead="0" printHeadLine="1" printFootLine="1" autoHeightHeader="0" autoHeightFooter="0" fitToPageBoth="1"/>
      </ext>
    </extLst>
  </printOptions>
  <pageMargins left="0.236111" right="0.236111" top="0.747917" bottom="0.747917" header="0.511806" footer="0.590278"/>
  <pageSetup paperSize="1" fitToWidth="1" fitToHeight="0" cellComments="asDisplayed"/>
  <headerFooter>
    <oddFooter>&amp;CC: Cumple   1   NC: No cumple  0 CP: Cumple parcialmente  0.5</oddFooter>
    <extLst>
      <ext uri="smNativeData">
        <pm:header xmlns:pm="smNativeData" id="1597010558" l="56" r="56" t="56" b="56" borderId="0" fillId="0" vertical="0"/>
        <pm:footer xmlns:pm="smNativeData" id="1597010558" l="56" r="56" t="56" b="56" borderId="0" fillId="0" vertical="2"/>
        <pm:paperBin xmlns:pm="smNativeData" id="1597010558" Id="0" type="0" value="0"/>
        <pm:paperBin xmlns:pm="smNativeData" id="1597010558" Id="1" type="0" value="0"/>
      </ext>
    </extLst>
  </headerFooter>
  <rowBreaks count="1" manualBreakCount="1">
    <brk id="40" man="1"/>
  </rowBreaks>
  <drawing r:id="rId1"/>
  <extLst>
    <ext uri="smNativeData">
      <pm:sheetPrefs xmlns:pm="smNativeData" day="15970105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Guillén [Sistemas]</dc:creator>
  <cp:keywords/>
  <dc:description/>
  <cp:lastModifiedBy>migue</cp:lastModifiedBy>
  <cp:revision>0</cp:revision>
  <cp:lastPrinted>2019-12-10T23:23:57Z</cp:lastPrinted>
  <dcterms:created xsi:type="dcterms:W3CDTF">2019-11-05T19:28:04Z</dcterms:created>
  <dcterms:modified xsi:type="dcterms:W3CDTF">2020-08-09T22:02:38Z</dcterms:modified>
</cp:coreProperties>
</file>